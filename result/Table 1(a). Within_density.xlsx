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onn-my.sharepoint.com/personal/zeyu_hu_uconn_edu/Documents/Jo_Hu_UConnHealth/P3_Seoul network/result/"/>
    </mc:Choice>
  </mc:AlternateContent>
  <xr:revisionPtr revIDLastSave="69" documentId="11_AD67FDCE8F79A8D366075C52F31192F167EDF8AC" xr6:coauthVersionLast="47" xr6:coauthVersionMax="47" xr10:uidLastSave="{FF813B40-6DD3-4B48-B509-DA9493F3D3C6}"/>
  <bookViews>
    <workbookView xWindow="240" yWindow="760" windowWidth="25840" windowHeight="1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D27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G27" i="1"/>
  <c r="H27" i="1"/>
  <c r="F27" i="1"/>
  <c r="G2" i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<sst xmlns="http://schemas.openxmlformats.org/spreadsheetml/2006/main" count="30" uniqueCount="30">
  <si>
    <t>gu</t>
  </si>
  <si>
    <t>2020</t>
  </si>
  <si>
    <t>2021</t>
  </si>
  <si>
    <t>2022</t>
  </si>
  <si>
    <t>Dobong</t>
  </si>
  <si>
    <t>Dongdaemun</t>
  </si>
  <si>
    <t>Dongjak</t>
  </si>
  <si>
    <t>Eunpyeong</t>
  </si>
  <si>
    <t>Gangbuk</t>
  </si>
  <si>
    <t>Gangdong</t>
  </si>
  <si>
    <t>Gangnam</t>
  </si>
  <si>
    <t>Gangseo</t>
  </si>
  <si>
    <t>Geumcheon</t>
  </si>
  <si>
    <t>Guro</t>
  </si>
  <si>
    <t>Gwanak</t>
  </si>
  <si>
    <t>Gwangjin</t>
  </si>
  <si>
    <t>Jongno</t>
  </si>
  <si>
    <t>Jung</t>
  </si>
  <si>
    <t>Jungnang</t>
  </si>
  <si>
    <t>Mapo</t>
  </si>
  <si>
    <t>Nowon</t>
  </si>
  <si>
    <t>Seocho</t>
  </si>
  <si>
    <t>Seodaemun</t>
  </si>
  <si>
    <t>Seongbuk</t>
  </si>
  <si>
    <t>Seongdong</t>
  </si>
  <si>
    <t>Songpa</t>
  </si>
  <si>
    <t>Yangcheon</t>
  </si>
  <si>
    <t>Yeongdeungpo</t>
  </si>
  <si>
    <t>Yongsan</t>
  </si>
  <si>
    <t>Total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</si>
</sst>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10" fontId="0" fillId="0" borderId="0" xfId="1" applyNumberFormat="1" applyFont="1" applyAlignment="1"/>
    <xf numFmtId="10" fontId="0" fillId="0" borderId="0" xfId="0" applyNumberFormat="1"/>
    <xf numFmtId="2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F2" sqref="F2:L26"/>
    </sheetView>
  </sheetViews>
  <sheetFormatPr baseColWidth="10" defaultColWidth="8.83203125" defaultRowHeight="14"/>
  <cols>
    <col min="2" max="2" width="16.33203125" bestFit="1" customWidth="1"/>
    <col min="3" max="4" width="15.33203125" bestFit="1" customWidth="1"/>
    <col min="6" max="8" width="10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12">
      <c r="A2" t="s">
        <v>4</v>
      </c>
      <c r="B2">
        <v>52307286.409999996</v>
      </c>
      <c r="C2">
        <v>56561811.26000002</v>
      </c>
      <c r="D2">
        <v>63169558.819999993</v>
      </c>
      <c r="F2" s="2">
        <f>B2/1000000</f>
        <v>52.307286409999996</v>
      </c>
      <c r="G2" s="2">
        <f t="shared" ref="G2:H17" si="0">C2/1000000</f>
        <v>56.56181126000002</v>
      </c>
      <c r="H2" s="2">
        <f t="shared" si="0"/>
        <v>63.169558819999992</v>
      </c>
      <c r="J2" s="3">
        <f>F2/F$27</f>
        <v>2.2040201833755001E-2</v>
      </c>
      <c r="K2" s="3">
        <f t="shared" ref="K2:L2" si="1">G2/G$27</f>
        <v>2.1818221801535222E-2</v>
      </c>
      <c r="L2" s="3">
        <f t="shared" si="1"/>
        <v>2.0824586181511725E-2</v>
      </c>
    </row>
    <row r="3" spans="1:12">
      <c r="A3" t="s">
        <v>5</v>
      </c>
      <c r="B3">
        <v>73200821.280000001</v>
      </c>
      <c r="C3">
        <v>78688696.199999988</v>
      </c>
      <c r="D3">
        <v>93876914.140000015</v>
      </c>
      <c r="F3" s="2">
        <f t="shared" ref="F3:F26" si="2">B3/1000000</f>
        <v>73.20082128</v>
      </c>
      <c r="G3" s="2">
        <f t="shared" si="0"/>
        <v>78.688696199999981</v>
      </c>
      <c r="H3" s="2">
        <f t="shared" si="0"/>
        <v>93.876914140000011</v>
      </c>
      <c r="J3" s="3">
        <f t="shared" ref="J3:J26" si="3">F3/F$27</f>
        <v>3.0843903137353138E-2</v>
      </c>
      <c r="K3" s="3">
        <f t="shared" ref="K3:K26" si="4">G3/G$27</f>
        <v>3.0353473283826038E-2</v>
      </c>
      <c r="L3" s="3">
        <f t="shared" ref="L3:L26" si="5">H3/H$27</f>
        <v>3.0947626126903622E-2</v>
      </c>
    </row>
    <row r="4" spans="1:12">
      <c r="A4" t="s">
        <v>6</v>
      </c>
      <c r="B4">
        <v>64607186.279999986</v>
      </c>
      <c r="C4">
        <v>71339507.689999998</v>
      </c>
      <c r="D4">
        <v>86060517.169999987</v>
      </c>
      <c r="F4" s="2">
        <f t="shared" si="2"/>
        <v>64.607186279999979</v>
      </c>
      <c r="G4" s="2">
        <f t="shared" si="0"/>
        <v>71.339507689999991</v>
      </c>
      <c r="H4" s="2">
        <f t="shared" si="0"/>
        <v>86.060517169999983</v>
      </c>
      <c r="J4" s="3">
        <f t="shared" si="3"/>
        <v>2.7222888497040781E-2</v>
      </c>
      <c r="K4" s="3">
        <f t="shared" si="4"/>
        <v>2.7518588378259563E-2</v>
      </c>
      <c r="L4" s="3">
        <f t="shared" si="5"/>
        <v>2.8370859162383723E-2</v>
      </c>
    </row>
    <row r="5" spans="1:12">
      <c r="A5" t="s">
        <v>7</v>
      </c>
      <c r="B5">
        <v>100279243.41</v>
      </c>
      <c r="C5">
        <v>108415807.8000001</v>
      </c>
      <c r="D5">
        <v>124377102.7</v>
      </c>
      <c r="F5" s="2">
        <f t="shared" si="2"/>
        <v>100.27924340999999</v>
      </c>
      <c r="G5" s="2">
        <f t="shared" si="0"/>
        <v>108.4158078000001</v>
      </c>
      <c r="H5" s="2">
        <f t="shared" si="0"/>
        <v>124.37710270000001</v>
      </c>
      <c r="J5" s="3">
        <f t="shared" si="3"/>
        <v>4.225366896628209E-2</v>
      </c>
      <c r="K5" s="3">
        <f t="shared" si="4"/>
        <v>4.182044543269129E-2</v>
      </c>
      <c r="L5" s="3">
        <f t="shared" si="5"/>
        <v>4.1002371119344239E-2</v>
      </c>
    </row>
    <row r="6" spans="1:12">
      <c r="A6" t="s">
        <v>8</v>
      </c>
      <c r="B6">
        <v>62626259.639999963</v>
      </c>
      <c r="C6">
        <v>66467641.770000003</v>
      </c>
      <c r="D6">
        <v>74652930.390000015</v>
      </c>
      <c r="F6" s="2">
        <f t="shared" si="2"/>
        <v>62.626259639999965</v>
      </c>
      <c r="G6" s="2">
        <f t="shared" si="0"/>
        <v>66.46764177</v>
      </c>
      <c r="H6" s="2">
        <f t="shared" si="0"/>
        <v>74.652930390000009</v>
      </c>
      <c r="J6" s="3">
        <f t="shared" si="3"/>
        <v>2.6388205110461666E-2</v>
      </c>
      <c r="K6" s="3">
        <f t="shared" si="4"/>
        <v>2.5639308898660021E-2</v>
      </c>
      <c r="L6" s="3">
        <f t="shared" si="5"/>
        <v>2.4610214344519796E-2</v>
      </c>
    </row>
    <row r="7" spans="1:12">
      <c r="A7" t="s">
        <v>9</v>
      </c>
      <c r="B7">
        <v>133541904.02</v>
      </c>
      <c r="C7">
        <v>151752841.95999989</v>
      </c>
      <c r="D7">
        <v>173848423.11000001</v>
      </c>
      <c r="F7" s="2">
        <f t="shared" si="2"/>
        <v>133.54190402</v>
      </c>
      <c r="G7" s="2">
        <f t="shared" si="0"/>
        <v>151.7528419599999</v>
      </c>
      <c r="H7" s="2">
        <f t="shared" si="0"/>
        <v>173.84842311000003</v>
      </c>
      <c r="J7" s="3">
        <f t="shared" si="3"/>
        <v>5.6269225950556029E-2</v>
      </c>
      <c r="K7" s="3">
        <f t="shared" si="4"/>
        <v>5.8537325646749412E-2</v>
      </c>
      <c r="L7" s="3">
        <f t="shared" si="5"/>
        <v>5.7311172298830232E-2</v>
      </c>
    </row>
    <row r="8" spans="1:12">
      <c r="A8" t="s">
        <v>10</v>
      </c>
      <c r="B8">
        <v>230217019.30000019</v>
      </c>
      <c r="C8">
        <v>248070157.56999999</v>
      </c>
      <c r="D8">
        <v>288286637.20000011</v>
      </c>
      <c r="F8" s="2">
        <f t="shared" si="2"/>
        <v>230.2170193000002</v>
      </c>
      <c r="G8" s="2">
        <f t="shared" si="0"/>
        <v>248.07015756999999</v>
      </c>
      <c r="H8" s="2">
        <f t="shared" si="0"/>
        <v>288.28663720000009</v>
      </c>
      <c r="J8" s="3">
        <f t="shared" si="3"/>
        <v>9.7004259237723184E-2</v>
      </c>
      <c r="K8" s="3">
        <f t="shared" si="4"/>
        <v>9.5690884001652987E-2</v>
      </c>
      <c r="L8" s="3">
        <f t="shared" si="5"/>
        <v>9.5037072183079191E-2</v>
      </c>
    </row>
    <row r="9" spans="1:12">
      <c r="A9" t="s">
        <v>11</v>
      </c>
      <c r="B9">
        <v>128222425.48</v>
      </c>
      <c r="C9">
        <v>144989998.1099999</v>
      </c>
      <c r="D9">
        <v>166557587.33000001</v>
      </c>
      <c r="F9" s="2">
        <f t="shared" si="2"/>
        <v>128.22242548</v>
      </c>
      <c r="G9" s="2">
        <f t="shared" si="0"/>
        <v>144.9899981099999</v>
      </c>
      <c r="H9" s="2">
        <f t="shared" si="0"/>
        <v>166.55758733000002</v>
      </c>
      <c r="J9" s="3">
        <f t="shared" si="3"/>
        <v>5.4027810103575394E-2</v>
      </c>
      <c r="K9" s="3">
        <f t="shared" si="4"/>
        <v>5.59286180427764E-2</v>
      </c>
      <c r="L9" s="3">
        <f t="shared" si="5"/>
        <v>5.4907662746571183E-2</v>
      </c>
    </row>
    <row r="10" spans="1:12">
      <c r="A10" t="s">
        <v>12</v>
      </c>
      <c r="B10">
        <v>42025949.210000001</v>
      </c>
      <c r="C10">
        <v>45484171.149999999</v>
      </c>
      <c r="D10">
        <v>50291018.659999967</v>
      </c>
      <c r="F10" s="2">
        <f t="shared" si="2"/>
        <v>42.02594921</v>
      </c>
      <c r="G10" s="2">
        <f t="shared" si="0"/>
        <v>45.484171150000002</v>
      </c>
      <c r="H10" s="2">
        <f t="shared" si="0"/>
        <v>50.291018659999963</v>
      </c>
      <c r="J10" s="3">
        <f t="shared" si="3"/>
        <v>1.770805687726244E-2</v>
      </c>
      <c r="K10" s="3">
        <f t="shared" si="4"/>
        <v>1.7545119445485188E-2</v>
      </c>
      <c r="L10" s="3">
        <f t="shared" si="5"/>
        <v>1.6579024324444122E-2</v>
      </c>
    </row>
    <row r="11" spans="1:12">
      <c r="A11" t="s">
        <v>13</v>
      </c>
      <c r="B11">
        <v>69968004.680000007</v>
      </c>
      <c r="C11">
        <v>77995392.519999981</v>
      </c>
      <c r="D11">
        <v>90412217.139999986</v>
      </c>
      <c r="F11" s="2">
        <f t="shared" si="2"/>
        <v>69.968004680000007</v>
      </c>
      <c r="G11" s="2">
        <f t="shared" si="0"/>
        <v>77.995392519999982</v>
      </c>
      <c r="H11" s="2">
        <f t="shared" si="0"/>
        <v>90.412217139999981</v>
      </c>
      <c r="J11" s="3">
        <f t="shared" si="3"/>
        <v>2.9481723310301515E-2</v>
      </c>
      <c r="K11" s="3">
        <f t="shared" si="4"/>
        <v>3.0086037479895938E-2</v>
      </c>
      <c r="L11" s="3">
        <f t="shared" si="5"/>
        <v>2.9805448112412217E-2</v>
      </c>
    </row>
    <row r="12" spans="1:12">
      <c r="A12" t="s">
        <v>14</v>
      </c>
      <c r="B12">
        <v>92500939.390000045</v>
      </c>
      <c r="C12">
        <v>99693291.099999994</v>
      </c>
      <c r="D12">
        <v>116705777.39</v>
      </c>
      <c r="F12" s="2">
        <f t="shared" si="2"/>
        <v>92.500939390000042</v>
      </c>
      <c r="G12" s="2">
        <f t="shared" si="0"/>
        <v>99.693291099999996</v>
      </c>
      <c r="H12" s="2">
        <f t="shared" si="0"/>
        <v>116.70577738999999</v>
      </c>
      <c r="J12" s="3">
        <f t="shared" si="3"/>
        <v>3.8976202244316333E-2</v>
      </c>
      <c r="K12" s="3">
        <f t="shared" si="4"/>
        <v>3.8455811242435384E-2</v>
      </c>
      <c r="L12" s="3">
        <f t="shared" si="5"/>
        <v>3.8473428729549862E-2</v>
      </c>
    </row>
    <row r="13" spans="1:12">
      <c r="A13" t="s">
        <v>15</v>
      </c>
      <c r="B13">
        <v>85878809.919999987</v>
      </c>
      <c r="C13">
        <v>92834810.189999998</v>
      </c>
      <c r="D13">
        <v>113616600.3499999</v>
      </c>
      <c r="F13" s="2">
        <f t="shared" si="2"/>
        <v>85.878809919999981</v>
      </c>
      <c r="G13" s="2">
        <f t="shared" si="0"/>
        <v>92.834810189999999</v>
      </c>
      <c r="H13" s="2">
        <f t="shared" si="0"/>
        <v>113.6166003499999</v>
      </c>
      <c r="J13" s="3">
        <f t="shared" si="3"/>
        <v>3.6185901311019293E-2</v>
      </c>
      <c r="K13" s="3">
        <f t="shared" si="4"/>
        <v>3.5810212482733028E-2</v>
      </c>
      <c r="L13" s="3">
        <f t="shared" si="5"/>
        <v>3.7455045275539389E-2</v>
      </c>
    </row>
    <row r="14" spans="1:12">
      <c r="A14" t="s">
        <v>16</v>
      </c>
      <c r="B14">
        <v>62624206.11999999</v>
      </c>
      <c r="C14">
        <v>66100767.039999992</v>
      </c>
      <c r="D14">
        <v>86288773.299999937</v>
      </c>
      <c r="F14" s="2">
        <f t="shared" si="2"/>
        <v>62.62420611999999</v>
      </c>
      <c r="G14" s="2">
        <f t="shared" si="0"/>
        <v>66.100767039999994</v>
      </c>
      <c r="H14" s="2">
        <f t="shared" si="0"/>
        <v>86.288773299999932</v>
      </c>
      <c r="J14" s="3">
        <f t="shared" si="3"/>
        <v>2.6387339839131888E-2</v>
      </c>
      <c r="K14" s="3">
        <f t="shared" si="4"/>
        <v>2.5497790194534308E-2</v>
      </c>
      <c r="L14" s="3">
        <f t="shared" si="5"/>
        <v>2.8446106473579716E-2</v>
      </c>
    </row>
    <row r="15" spans="1:12">
      <c r="A15" t="s">
        <v>17</v>
      </c>
      <c r="B15">
        <v>65342289.760000013</v>
      </c>
      <c r="C15">
        <v>68902606.729999989</v>
      </c>
      <c r="D15">
        <v>83903455.129999965</v>
      </c>
      <c r="F15" s="2">
        <f t="shared" si="2"/>
        <v>65.342289760000014</v>
      </c>
      <c r="G15" s="2">
        <f t="shared" si="0"/>
        <v>68.902606729999988</v>
      </c>
      <c r="H15" s="2">
        <f t="shared" si="0"/>
        <v>83.903455129999969</v>
      </c>
      <c r="J15" s="3">
        <f t="shared" si="3"/>
        <v>2.7532631750416644E-2</v>
      </c>
      <c r="K15" s="3">
        <f t="shared" si="4"/>
        <v>2.657857524096361E-2</v>
      </c>
      <c r="L15" s="3">
        <f t="shared" si="5"/>
        <v>2.7659758353862234E-2</v>
      </c>
    </row>
    <row r="16" spans="1:12">
      <c r="A16" t="s">
        <v>18</v>
      </c>
      <c r="B16">
        <v>74280406.920000032</v>
      </c>
      <c r="C16">
        <v>80440038.160000026</v>
      </c>
      <c r="D16">
        <v>93693039.169999912</v>
      </c>
      <c r="F16" s="2">
        <f t="shared" si="2"/>
        <v>74.280406920000033</v>
      </c>
      <c r="G16" s="2">
        <f t="shared" si="0"/>
        <v>80.440038160000029</v>
      </c>
      <c r="H16" s="2">
        <f t="shared" si="0"/>
        <v>93.693039169999906</v>
      </c>
      <c r="J16" s="3">
        <f t="shared" si="3"/>
        <v>3.1298797417586253E-2</v>
      </c>
      <c r="K16" s="3">
        <f t="shared" si="4"/>
        <v>3.1029038059465375E-2</v>
      </c>
      <c r="L16" s="3">
        <f t="shared" si="5"/>
        <v>3.0887009585789237E-2</v>
      </c>
    </row>
    <row r="17" spans="1:12">
      <c r="A17" t="s">
        <v>19</v>
      </c>
      <c r="B17">
        <v>115731893.1100001</v>
      </c>
      <c r="C17">
        <v>121188783.58</v>
      </c>
      <c r="D17">
        <v>144891588.11999989</v>
      </c>
      <c r="F17" s="2">
        <f t="shared" si="2"/>
        <v>115.7318931100001</v>
      </c>
      <c r="G17" s="2">
        <f t="shared" si="0"/>
        <v>121.18878357999999</v>
      </c>
      <c r="H17" s="2">
        <f t="shared" si="0"/>
        <v>144.89158811999988</v>
      </c>
      <c r="J17" s="3">
        <f t="shared" si="3"/>
        <v>4.8764798516852788E-2</v>
      </c>
      <c r="K17" s="3">
        <f t="shared" si="4"/>
        <v>4.6747508630024887E-2</v>
      </c>
      <c r="L17" s="3">
        <f t="shared" si="5"/>
        <v>4.7765211917638627E-2</v>
      </c>
    </row>
    <row r="18" spans="1:12">
      <c r="A18" t="s">
        <v>20</v>
      </c>
      <c r="B18">
        <v>117135276.45000011</v>
      </c>
      <c r="C18">
        <v>129026240.91</v>
      </c>
      <c r="D18">
        <v>148915762.58000001</v>
      </c>
      <c r="F18" s="2">
        <f t="shared" si="2"/>
        <v>117.13527645000011</v>
      </c>
      <c r="G18" s="2">
        <f t="shared" ref="G18:G26" si="6">C18/1000000</f>
        <v>129.02624090999998</v>
      </c>
      <c r="H18" s="2">
        <f t="shared" ref="H18:H26" si="7">D18/1000000</f>
        <v>148.91576258000001</v>
      </c>
      <c r="J18" s="3">
        <f t="shared" si="3"/>
        <v>4.9356128218441285E-2</v>
      </c>
      <c r="K18" s="3">
        <f t="shared" si="4"/>
        <v>4.9770738943495006E-2</v>
      </c>
      <c r="L18" s="3">
        <f t="shared" si="5"/>
        <v>4.9091828240708131E-2</v>
      </c>
    </row>
    <row r="19" spans="1:12">
      <c r="A19" t="s">
        <v>21</v>
      </c>
      <c r="B19">
        <v>130984987.37</v>
      </c>
      <c r="C19">
        <v>143659131.29000011</v>
      </c>
      <c r="D19">
        <v>165997481.32000011</v>
      </c>
      <c r="F19" s="2">
        <f t="shared" si="2"/>
        <v>130.98498737</v>
      </c>
      <c r="G19" s="2">
        <f t="shared" si="6"/>
        <v>143.65913129000012</v>
      </c>
      <c r="H19" s="2">
        <f t="shared" si="7"/>
        <v>165.99748132000011</v>
      </c>
      <c r="J19" s="3">
        <f t="shared" si="3"/>
        <v>5.5191843373368556E-2</v>
      </c>
      <c r="K19" s="3">
        <f t="shared" si="4"/>
        <v>5.5415247858544098E-2</v>
      </c>
      <c r="L19" s="3">
        <f t="shared" si="5"/>
        <v>5.4723017229111388E-2</v>
      </c>
    </row>
    <row r="20" spans="1:12">
      <c r="A20" t="s">
        <v>22</v>
      </c>
      <c r="B20">
        <v>68004428.36999999</v>
      </c>
      <c r="C20">
        <v>72665420.330000058</v>
      </c>
      <c r="D20">
        <v>86450640.140000001</v>
      </c>
      <c r="F20" s="2">
        <f t="shared" si="2"/>
        <v>68.004428369999985</v>
      </c>
      <c r="G20" s="2">
        <f t="shared" si="6"/>
        <v>72.66542033000006</v>
      </c>
      <c r="H20" s="2">
        <f t="shared" si="7"/>
        <v>86.450640140000004</v>
      </c>
      <c r="J20" s="3">
        <f t="shared" si="3"/>
        <v>2.8654350659975947E-2</v>
      </c>
      <c r="K20" s="3">
        <f t="shared" si="4"/>
        <v>2.8030047531079145E-2</v>
      </c>
      <c r="L20" s="3">
        <f t="shared" si="5"/>
        <v>2.8499467776436298E-2</v>
      </c>
    </row>
    <row r="21" spans="1:12">
      <c r="A21" t="s">
        <v>23</v>
      </c>
      <c r="B21">
        <v>86937322.209999993</v>
      </c>
      <c r="C21">
        <v>94761795.069999963</v>
      </c>
      <c r="D21">
        <v>111626023.3600001</v>
      </c>
      <c r="F21" s="2">
        <f t="shared" si="2"/>
        <v>86.937322209999991</v>
      </c>
      <c r="G21" s="2">
        <f t="shared" si="6"/>
        <v>94.761795069999962</v>
      </c>
      <c r="H21" s="2">
        <f t="shared" si="7"/>
        <v>111.6260233600001</v>
      </c>
      <c r="J21" s="3">
        <f t="shared" si="3"/>
        <v>3.663191612303314E-2</v>
      </c>
      <c r="K21" s="3">
        <f t="shared" si="4"/>
        <v>3.6553529971750154E-2</v>
      </c>
      <c r="L21" s="3">
        <f t="shared" si="5"/>
        <v>3.6798828216982687E-2</v>
      </c>
    </row>
    <row r="22" spans="1:12">
      <c r="A22" t="s">
        <v>24</v>
      </c>
      <c r="B22">
        <v>69440004.290000051</v>
      </c>
      <c r="C22">
        <v>76596606.420000032</v>
      </c>
      <c r="D22">
        <v>92428095.859999985</v>
      </c>
      <c r="F22" s="2">
        <f t="shared" si="2"/>
        <v>69.440004290000047</v>
      </c>
      <c r="G22" s="2">
        <f t="shared" si="6"/>
        <v>76.596606420000029</v>
      </c>
      <c r="H22" s="2">
        <f t="shared" si="7"/>
        <v>92.428095859999985</v>
      </c>
      <c r="J22" s="3">
        <f t="shared" si="3"/>
        <v>2.9259245029308607E-2</v>
      </c>
      <c r="K22" s="3">
        <f t="shared" si="4"/>
        <v>2.9546468030070237E-2</v>
      </c>
      <c r="L22" s="3">
        <f t="shared" si="5"/>
        <v>3.047000618310788E-2</v>
      </c>
    </row>
    <row r="23" spans="1:12">
      <c r="A23" t="s">
        <v>25</v>
      </c>
      <c r="B23">
        <v>202508028.33999979</v>
      </c>
      <c r="C23">
        <v>224271853.0200001</v>
      </c>
      <c r="D23">
        <v>262613341.75</v>
      </c>
      <c r="F23" s="2">
        <f t="shared" si="2"/>
        <v>202.50802833999978</v>
      </c>
      <c r="G23" s="2">
        <f t="shared" si="6"/>
        <v>224.27185302000009</v>
      </c>
      <c r="H23" s="2">
        <f t="shared" si="7"/>
        <v>262.61334175000002</v>
      </c>
      <c r="J23" s="3">
        <f t="shared" si="3"/>
        <v>8.5328796882800734E-2</v>
      </c>
      <c r="K23" s="3">
        <f t="shared" si="4"/>
        <v>8.6510897088122485E-2</v>
      </c>
      <c r="L23" s="3">
        <f t="shared" si="5"/>
        <v>8.6573569134318476E-2</v>
      </c>
    </row>
    <row r="24" spans="1:12">
      <c r="A24" t="s">
        <v>26</v>
      </c>
      <c r="B24">
        <v>75573321.030000061</v>
      </c>
      <c r="C24">
        <v>85260675.210000008</v>
      </c>
      <c r="D24">
        <v>93378540.570000052</v>
      </c>
      <c r="F24" s="2">
        <f t="shared" si="2"/>
        <v>75.573321030000059</v>
      </c>
      <c r="G24" s="2">
        <f t="shared" si="6"/>
        <v>85.260675210000002</v>
      </c>
      <c r="H24" s="2">
        <f t="shared" si="7"/>
        <v>93.378540570000055</v>
      </c>
      <c r="J24" s="3">
        <f t="shared" si="3"/>
        <v>3.1843579796751356E-2</v>
      </c>
      <c r="K24" s="3">
        <f t="shared" si="4"/>
        <v>3.2888556452504859E-2</v>
      </c>
      <c r="L24" s="3">
        <f t="shared" si="5"/>
        <v>3.0783331432545778E-2</v>
      </c>
    </row>
    <row r="25" spans="1:12">
      <c r="A25" t="s">
        <v>27</v>
      </c>
      <c r="B25">
        <v>109715968.68000001</v>
      </c>
      <c r="C25">
        <v>122876607.15999991</v>
      </c>
      <c r="D25">
        <v>144906322.3300001</v>
      </c>
      <c r="F25" s="2">
        <f t="shared" si="2"/>
        <v>109.71596868</v>
      </c>
      <c r="G25" s="2">
        <f t="shared" si="6"/>
        <v>122.87660715999991</v>
      </c>
      <c r="H25" s="2">
        <f t="shared" si="7"/>
        <v>144.90632233000011</v>
      </c>
      <c r="J25" s="3">
        <f t="shared" si="3"/>
        <v>4.6229928181302921E-2</v>
      </c>
      <c r="K25" s="3">
        <f t="shared" si="4"/>
        <v>4.7398571748584202E-2</v>
      </c>
      <c r="L25" s="3">
        <f t="shared" si="5"/>
        <v>4.777006922282958E-2</v>
      </c>
    </row>
    <row r="26" spans="1:12">
      <c r="A26" t="s">
        <v>28</v>
      </c>
      <c r="B26">
        <v>59613141.950000018</v>
      </c>
      <c r="C26">
        <v>64366946.400000013</v>
      </c>
      <c r="D26">
        <v>76464093.850000024</v>
      </c>
      <c r="F26" s="2">
        <f t="shared" si="2"/>
        <v>59.613141950000021</v>
      </c>
      <c r="G26" s="2">
        <f t="shared" si="6"/>
        <v>64.366946400000018</v>
      </c>
      <c r="H26" s="2">
        <f t="shared" si="7"/>
        <v>76.464093850000026</v>
      </c>
      <c r="J26" s="3">
        <f t="shared" si="3"/>
        <v>2.51185976313828E-2</v>
      </c>
      <c r="K26" s="3">
        <f t="shared" si="4"/>
        <v>2.4828984114161286E-2</v>
      </c>
      <c r="L26" s="3">
        <f t="shared" si="5"/>
        <v>2.520728562800063E-2</v>
      </c>
    </row>
    <row r="27" spans="1:12">
      <c r="A27" t="s">
        <v>29</v>
      </c>
      <c r="B27" s="5">
        <f t="shared" ref="B27:E27" si="8">SUM(B2:B26)</f>
        <v>2373267123.6199999</v>
      </c>
      <c r="C27" s="5">
        <f t="shared" si="8"/>
        <v>2592411598.6400003</v>
      </c>
      <c r="D27" s="5">
        <f t="shared" si="8"/>
        <v>3033412441.8800001</v>
      </c>
      <c r="E27" s="2"/>
      <c r="F27" s="2">
        <f>SUM(F2:F26)</f>
        <v>2373.2671236200008</v>
      </c>
      <c r="G27" s="2">
        <f t="shared" ref="G27:H27" si="9">SUM(G2:G26)</f>
        <v>2592.4115986399997</v>
      </c>
      <c r="H27" s="2">
        <f t="shared" si="9"/>
        <v>3033.4124418800002</v>
      </c>
    </row>
    <row r="29" spans="1:12">
      <c r="J29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Hu, Zeyu</cp:lastModifiedBy>
  <dcterms:created xsi:type="dcterms:W3CDTF">2025-03-05T18:50:03Z</dcterms:created>
  <dcterms:modified xsi:type="dcterms:W3CDTF">2025-03-12T18:15:49Z</dcterms:modified>
</cp:coreProperties>
</file>