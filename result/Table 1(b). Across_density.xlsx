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onn-my.sharepoint.com/personal/zeyu_hu_uconn_edu/Documents/Jo_Hu_UConnHealth/P3_Seoul network/result/"/>
    </mc:Choice>
  </mc:AlternateContent>
  <xr:revisionPtr revIDLastSave="44" documentId="11_8E64FDCE8F79A8D366075C52F34912F09715DB0B" xr6:coauthVersionLast="47" xr6:coauthVersionMax="47" xr10:uidLastSave="{444D87AB-AB61-F84B-B894-2E6D466E6FEE}"/>
  <bookViews>
    <workbookView xWindow="38400" yWindow="540" windowWidth="30240" windowHeight="17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J27" i="1"/>
  <c r="K27" i="1"/>
  <c r="L27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C27" i="1"/>
  <c r="D27" i="1"/>
  <c r="F27" i="1"/>
  <c r="G27" i="1"/>
  <c r="H27" i="1"/>
  <c r="B27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G2" i="1"/>
  <c r="H2" i="1"/>
  <c r="F2" i="1"/>
</calcChain>
</file>

<file path=xl/sharedStrings.xml><?xml version="1.0" encoding="utf-8"?>
<sst xmlns="http://schemas.openxmlformats.org/spreadsheetml/2006/main" count="29" uniqueCount="29">
  <si>
    <t>gu</t>
  </si>
  <si>
    <t>2020</t>
  </si>
  <si>
    <t>2021</t>
  </si>
  <si>
    <t>2022</t>
  </si>
  <si>
    <t>Dobong</t>
  </si>
  <si>
    <t>Dongdaemun</t>
  </si>
  <si>
    <t>Dongjak</t>
  </si>
  <si>
    <t>Eunpyeong</t>
  </si>
  <si>
    <t>Gangbuk</t>
  </si>
  <si>
    <t>Gangdong</t>
  </si>
  <si>
    <t>Gangnam</t>
  </si>
  <si>
    <t>Gangseo</t>
  </si>
  <si>
    <t>Geumcheon</t>
  </si>
  <si>
    <t>Guro</t>
  </si>
  <si>
    <t>Gwanak</t>
  </si>
  <si>
    <t>Gwangjin</t>
  </si>
  <si>
    <t>Jongno</t>
  </si>
  <si>
    <t>Jung</t>
  </si>
  <si>
    <t>Jungnang</t>
  </si>
  <si>
    <t>Mapo</t>
  </si>
  <si>
    <t>Nowon</t>
  </si>
  <si>
    <t>Seocho</t>
  </si>
  <si>
    <t>Seodaemun</t>
  </si>
  <si>
    <t>Seongbuk</t>
  </si>
  <si>
    <t>Seongdong</t>
  </si>
  <si>
    <t>Songpa</t>
  </si>
  <si>
    <t>Yangcheon</t>
  </si>
  <si>
    <t>Yeongdeungpo</t>
  </si>
  <si>
    <t>Yongsan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</si>
</sst>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10" fontId="0" fillId="0" borderId="0" xfId="1" applyNumberFormat="1" applyFont="1" applyAlignment="1"/>
    <xf numFmtId="2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F27" sqref="F27:H27"/>
    </sheetView>
  </sheetViews>
  <sheetFormatPr baseColWidth="10" defaultColWidth="8.83203125" defaultRowHeight="14"/>
  <cols>
    <col min="1" max="1" width="14.1640625" bestFit="1" customWidth="1"/>
    <col min="2" max="4" width="15.33203125" bestFit="1" customWidth="1"/>
    <col min="6" max="8" width="11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12">
      <c r="A2" t="s">
        <v>4</v>
      </c>
      <c r="B2">
        <v>114739077.22</v>
      </c>
      <c r="C2">
        <v>119501471.3199995</v>
      </c>
      <c r="D2">
        <v>127051496.67000011</v>
      </c>
      <c r="F2" s="2">
        <f>B2/1000000</f>
        <v>114.73907722</v>
      </c>
      <c r="G2" s="2">
        <f t="shared" ref="G2:H2" si="0">C2/1000000</f>
        <v>119.5014713199995</v>
      </c>
      <c r="H2" s="2">
        <f t="shared" si="0"/>
        <v>127.05149667000011</v>
      </c>
      <c r="J2" s="3">
        <f>F2/F$27</f>
        <v>2.4636404265919516E-2</v>
      </c>
      <c r="K2" s="3">
        <f t="shared" ref="K2:L2" si="1">G2/G$27</f>
        <v>2.4532327784320025E-2</v>
      </c>
      <c r="L2" s="3">
        <f t="shared" si="1"/>
        <v>2.3860680922906455E-2</v>
      </c>
    </row>
    <row r="3" spans="1:12">
      <c r="A3" t="s">
        <v>5</v>
      </c>
      <c r="B3">
        <v>169681494.0000003</v>
      </c>
      <c r="C3">
        <v>179057655.2400001</v>
      </c>
      <c r="D3">
        <v>198094031.5200007</v>
      </c>
      <c r="F3" s="2">
        <f t="shared" ref="F3:F26" si="2">B3/1000000</f>
        <v>169.6814940000003</v>
      </c>
      <c r="G3" s="2">
        <f t="shared" ref="G3:G26" si="3">C3/1000000</f>
        <v>179.05765524000009</v>
      </c>
      <c r="H3" s="2">
        <f t="shared" ref="H3:H26" si="4">D3/1000000</f>
        <v>198.0940315200007</v>
      </c>
      <c r="J3" s="3">
        <f t="shared" ref="J3:J26" si="5">F3/F$27</f>
        <v>3.6433462634650984E-2</v>
      </c>
      <c r="K3" s="3">
        <f t="shared" ref="K3:K26" si="6">G3/G$27</f>
        <v>3.6758552360219333E-2</v>
      </c>
      <c r="L3" s="3">
        <f t="shared" ref="L3:L26" si="7">H3/H$27</f>
        <v>3.7202698139855821E-2</v>
      </c>
    </row>
    <row r="4" spans="1:12">
      <c r="A4" t="s">
        <v>6</v>
      </c>
      <c r="B4">
        <v>172871013.32000041</v>
      </c>
      <c r="C4">
        <v>180033938.33000031</v>
      </c>
      <c r="D4">
        <v>198027973.6800006</v>
      </c>
      <c r="F4" s="2">
        <f t="shared" si="2"/>
        <v>172.8710133200004</v>
      </c>
      <c r="G4" s="2">
        <f t="shared" si="3"/>
        <v>180.03393833000032</v>
      </c>
      <c r="H4" s="2">
        <f t="shared" si="4"/>
        <v>198.0279736800006</v>
      </c>
      <c r="J4" s="3">
        <f t="shared" si="5"/>
        <v>3.7118305926799988E-2</v>
      </c>
      <c r="K4" s="3">
        <f t="shared" si="6"/>
        <v>3.695897245973459E-2</v>
      </c>
      <c r="L4" s="3">
        <f t="shared" si="7"/>
        <v>3.7190292264411527E-2</v>
      </c>
    </row>
    <row r="5" spans="1:12">
      <c r="A5" t="s">
        <v>7</v>
      </c>
      <c r="B5">
        <v>127263882.0800001</v>
      </c>
      <c r="C5">
        <v>129886383.1999999</v>
      </c>
      <c r="D5">
        <v>140476932.25</v>
      </c>
      <c r="F5" s="2">
        <f t="shared" si="2"/>
        <v>127.2638820800001</v>
      </c>
      <c r="G5" s="2">
        <f t="shared" si="3"/>
        <v>129.8863831999999</v>
      </c>
      <c r="H5" s="2">
        <f t="shared" si="4"/>
        <v>140.47693225</v>
      </c>
      <c r="J5" s="3">
        <f t="shared" si="5"/>
        <v>2.7325689933531024E-2</v>
      </c>
      <c r="K5" s="3">
        <f t="shared" si="6"/>
        <v>2.6664235110960711E-2</v>
      </c>
      <c r="L5" s="3">
        <f t="shared" si="7"/>
        <v>2.6382021033188315E-2</v>
      </c>
    </row>
    <row r="6" spans="1:12">
      <c r="A6" t="s">
        <v>8</v>
      </c>
      <c r="B6">
        <v>130262268.62999921</v>
      </c>
      <c r="C6">
        <v>135307026.68000019</v>
      </c>
      <c r="D6">
        <v>145192569.9600004</v>
      </c>
      <c r="F6" s="2">
        <f t="shared" si="2"/>
        <v>130.2622686299992</v>
      </c>
      <c r="G6" s="2">
        <f t="shared" si="3"/>
        <v>135.30702668000018</v>
      </c>
      <c r="H6" s="2">
        <f t="shared" si="4"/>
        <v>145.19256996000038</v>
      </c>
      <c r="J6" s="3">
        <f t="shared" si="5"/>
        <v>2.7969493814310336E-2</v>
      </c>
      <c r="K6" s="3">
        <f t="shared" si="6"/>
        <v>2.7777033147540608E-2</v>
      </c>
      <c r="L6" s="3">
        <f t="shared" si="7"/>
        <v>2.7267633007036968E-2</v>
      </c>
    </row>
    <row r="7" spans="1:12">
      <c r="A7" t="s">
        <v>9</v>
      </c>
      <c r="B7">
        <v>137053023.8699995</v>
      </c>
      <c r="C7">
        <v>144378030.05000031</v>
      </c>
      <c r="D7">
        <v>154489623.83000091</v>
      </c>
      <c r="F7" s="2">
        <f t="shared" si="2"/>
        <v>137.05302386999949</v>
      </c>
      <c r="G7" s="2">
        <f t="shared" si="3"/>
        <v>144.37803005000032</v>
      </c>
      <c r="H7" s="2">
        <f t="shared" si="4"/>
        <v>154.48962383000091</v>
      </c>
      <c r="J7" s="3">
        <f t="shared" si="5"/>
        <v>2.942758285787811E-2</v>
      </c>
      <c r="K7" s="3">
        <f t="shared" si="6"/>
        <v>2.9639209617398618E-2</v>
      </c>
      <c r="L7" s="3">
        <f t="shared" si="7"/>
        <v>2.9013649714666474E-2</v>
      </c>
    </row>
    <row r="8" spans="1:12">
      <c r="A8" t="s">
        <v>10</v>
      </c>
      <c r="B8">
        <v>428961571.79999918</v>
      </c>
      <c r="C8">
        <v>445050415.37999862</v>
      </c>
      <c r="D8">
        <v>479830046.62000293</v>
      </c>
      <c r="F8" s="2">
        <f t="shared" si="2"/>
        <v>428.96157179999921</v>
      </c>
      <c r="G8" s="2">
        <f t="shared" si="3"/>
        <v>445.05041537999864</v>
      </c>
      <c r="H8" s="2">
        <f t="shared" si="4"/>
        <v>479.83004662000292</v>
      </c>
      <c r="J8" s="3">
        <f t="shared" si="5"/>
        <v>9.2105243945320284E-2</v>
      </c>
      <c r="K8" s="3">
        <f t="shared" si="6"/>
        <v>9.1363918368950456E-2</v>
      </c>
      <c r="L8" s="3">
        <f t="shared" si="7"/>
        <v>9.0113630612008513E-2</v>
      </c>
    </row>
    <row r="9" spans="1:12">
      <c r="A9" t="s">
        <v>11</v>
      </c>
      <c r="B9">
        <v>162408554.47000039</v>
      </c>
      <c r="C9">
        <v>172076554.5399999</v>
      </c>
      <c r="D9">
        <v>185822581.29000071</v>
      </c>
      <c r="F9" s="2">
        <f t="shared" si="2"/>
        <v>162.40855447000038</v>
      </c>
      <c r="G9" s="2">
        <f t="shared" si="3"/>
        <v>172.0765545399999</v>
      </c>
      <c r="H9" s="2">
        <f t="shared" si="4"/>
        <v>185.8225812900007</v>
      </c>
      <c r="J9" s="3">
        <f t="shared" si="5"/>
        <v>3.4871840536896896E-2</v>
      </c>
      <c r="K9" s="3">
        <f t="shared" si="6"/>
        <v>3.5325409748869004E-2</v>
      </c>
      <c r="L9" s="3">
        <f t="shared" si="7"/>
        <v>3.4898080200880408E-2</v>
      </c>
    </row>
    <row r="10" spans="1:12">
      <c r="A10" t="s">
        <v>12</v>
      </c>
      <c r="B10">
        <v>81961663.819999531</v>
      </c>
      <c r="C10">
        <v>87257675.849999711</v>
      </c>
      <c r="D10">
        <v>92503783.889999524</v>
      </c>
      <c r="F10" s="2">
        <f t="shared" si="2"/>
        <v>81.961663819999529</v>
      </c>
      <c r="G10" s="2">
        <f t="shared" si="3"/>
        <v>87.257675849999714</v>
      </c>
      <c r="H10" s="2">
        <f t="shared" si="4"/>
        <v>92.503783889999525</v>
      </c>
      <c r="J10" s="3">
        <f t="shared" si="5"/>
        <v>1.7598543871023279E-2</v>
      </c>
      <c r="K10" s="3">
        <f t="shared" si="6"/>
        <v>1.791303388991736E-2</v>
      </c>
      <c r="L10" s="3">
        <f t="shared" si="7"/>
        <v>1.7372509017297918E-2</v>
      </c>
    </row>
    <row r="11" spans="1:12">
      <c r="A11" t="s">
        <v>13</v>
      </c>
      <c r="B11">
        <v>145139563.26000011</v>
      </c>
      <c r="C11">
        <v>152484530.4399997</v>
      </c>
      <c r="D11">
        <v>165282228.48000041</v>
      </c>
      <c r="F11" s="2">
        <f t="shared" si="2"/>
        <v>145.1395632600001</v>
      </c>
      <c r="G11" s="2">
        <f t="shared" si="3"/>
        <v>152.4845304399997</v>
      </c>
      <c r="H11" s="2">
        <f t="shared" si="4"/>
        <v>165.28222848000041</v>
      </c>
      <c r="J11" s="3">
        <f t="shared" si="5"/>
        <v>3.1163898491150529E-2</v>
      </c>
      <c r="K11" s="3">
        <f t="shared" si="6"/>
        <v>3.130338431378079E-2</v>
      </c>
      <c r="L11" s="3">
        <f t="shared" si="7"/>
        <v>3.1040535683192975E-2</v>
      </c>
    </row>
    <row r="12" spans="1:12">
      <c r="A12" t="s">
        <v>14</v>
      </c>
      <c r="B12">
        <v>175819747.1899991</v>
      </c>
      <c r="C12">
        <v>183107576.74999931</v>
      </c>
      <c r="D12">
        <v>200696653.3799997</v>
      </c>
      <c r="F12" s="2">
        <f t="shared" si="2"/>
        <v>175.81974718999911</v>
      </c>
      <c r="G12" s="2">
        <f t="shared" si="3"/>
        <v>183.10757674999931</v>
      </c>
      <c r="H12" s="2">
        <f t="shared" si="4"/>
        <v>200.6966533799997</v>
      </c>
      <c r="J12" s="3">
        <f t="shared" si="5"/>
        <v>3.7751448544415832E-2</v>
      </c>
      <c r="K12" s="3">
        <f t="shared" si="6"/>
        <v>3.758995636626726E-2</v>
      </c>
      <c r="L12" s="3">
        <f t="shared" si="7"/>
        <v>3.7691478920815175E-2</v>
      </c>
    </row>
    <row r="13" spans="1:12">
      <c r="A13" t="s">
        <v>15</v>
      </c>
      <c r="B13">
        <v>158539319.11000121</v>
      </c>
      <c r="C13">
        <v>166074305.0999994</v>
      </c>
      <c r="D13">
        <v>183140865.96999979</v>
      </c>
      <c r="F13" s="2">
        <f t="shared" si="2"/>
        <v>158.5393191100012</v>
      </c>
      <c r="G13" s="2">
        <f t="shared" si="3"/>
        <v>166.07430509999941</v>
      </c>
      <c r="H13" s="2">
        <f t="shared" si="4"/>
        <v>183.14086596999979</v>
      </c>
      <c r="J13" s="3">
        <f t="shared" si="5"/>
        <v>3.4041050810863484E-2</v>
      </c>
      <c r="K13" s="3">
        <f t="shared" si="6"/>
        <v>3.409321445387517E-2</v>
      </c>
      <c r="L13" s="3">
        <f t="shared" si="7"/>
        <v>3.4394445412989548E-2</v>
      </c>
    </row>
    <row r="14" spans="1:12">
      <c r="A14" t="s">
        <v>16</v>
      </c>
      <c r="B14">
        <v>235778528.78</v>
      </c>
      <c r="C14">
        <v>245838480.9200004</v>
      </c>
      <c r="D14">
        <v>281691161.59999943</v>
      </c>
      <c r="F14" s="2">
        <f t="shared" si="2"/>
        <v>235.77852877999999</v>
      </c>
      <c r="G14" s="2">
        <f t="shared" si="3"/>
        <v>245.83848092000039</v>
      </c>
      <c r="H14" s="2">
        <f t="shared" si="4"/>
        <v>281.69116159999942</v>
      </c>
      <c r="J14" s="3">
        <f t="shared" si="5"/>
        <v>5.0625604571581016E-2</v>
      </c>
      <c r="K14" s="3">
        <f t="shared" si="6"/>
        <v>5.0467915828241526E-2</v>
      </c>
      <c r="L14" s="3">
        <f t="shared" si="7"/>
        <v>5.2902508840161781E-2</v>
      </c>
    </row>
    <row r="15" spans="1:12">
      <c r="A15" t="s">
        <v>17</v>
      </c>
      <c r="B15">
        <v>250689825.77000061</v>
      </c>
      <c r="C15">
        <v>261167774.63999981</v>
      </c>
      <c r="D15">
        <v>293484904.80000031</v>
      </c>
      <c r="F15" s="2">
        <f t="shared" si="2"/>
        <v>250.6898257700006</v>
      </c>
      <c r="G15" s="2">
        <f t="shared" si="3"/>
        <v>261.16777463999983</v>
      </c>
      <c r="H15" s="2">
        <f t="shared" si="4"/>
        <v>293.48490480000032</v>
      </c>
      <c r="J15" s="3">
        <f t="shared" si="5"/>
        <v>5.3827310125395676E-2</v>
      </c>
      <c r="K15" s="3">
        <f t="shared" si="6"/>
        <v>5.3614849954551382E-2</v>
      </c>
      <c r="L15" s="3">
        <f t="shared" si="7"/>
        <v>5.5117411857895114E-2</v>
      </c>
    </row>
    <row r="16" spans="1:12">
      <c r="A16" t="s">
        <v>18</v>
      </c>
      <c r="B16">
        <v>124277823.10999981</v>
      </c>
      <c r="C16">
        <v>130335180.13000061</v>
      </c>
      <c r="D16">
        <v>139406884.14000079</v>
      </c>
      <c r="F16" s="2">
        <f t="shared" si="2"/>
        <v>124.2778231099998</v>
      </c>
      <c r="G16" s="2">
        <f t="shared" si="3"/>
        <v>130.33518013000059</v>
      </c>
      <c r="H16" s="2">
        <f t="shared" si="4"/>
        <v>139.40688414000078</v>
      </c>
      <c r="J16" s="3">
        <f t="shared" si="5"/>
        <v>2.6684532990933794E-2</v>
      </c>
      <c r="K16" s="3">
        <f t="shared" si="6"/>
        <v>2.6756368147263596E-2</v>
      </c>
      <c r="L16" s="3">
        <f t="shared" si="7"/>
        <v>2.6181062546322419E-2</v>
      </c>
    </row>
    <row r="17" spans="1:12">
      <c r="A17" t="s">
        <v>19</v>
      </c>
      <c r="B17">
        <v>225702550.91000041</v>
      </c>
      <c r="C17">
        <v>234821746.4299992</v>
      </c>
      <c r="D17">
        <v>263459236.11999941</v>
      </c>
      <c r="F17" s="2">
        <f t="shared" si="2"/>
        <v>225.70255091000041</v>
      </c>
      <c r="G17" s="2">
        <f t="shared" si="3"/>
        <v>234.82174642999919</v>
      </c>
      <c r="H17" s="2">
        <f t="shared" si="4"/>
        <v>263.45923611999939</v>
      </c>
      <c r="J17" s="3">
        <f t="shared" si="5"/>
        <v>4.8462123130085695E-2</v>
      </c>
      <c r="K17" s="3">
        <f t="shared" si="6"/>
        <v>4.8206302321426892E-2</v>
      </c>
      <c r="L17" s="3">
        <f t="shared" si="7"/>
        <v>4.9478494421674346E-2</v>
      </c>
    </row>
    <row r="18" spans="1:12">
      <c r="A18" t="s">
        <v>20</v>
      </c>
      <c r="B18">
        <v>167102455.69000041</v>
      </c>
      <c r="C18">
        <v>172904749.03999969</v>
      </c>
      <c r="D18">
        <v>183878380.65000069</v>
      </c>
      <c r="F18" s="2">
        <f t="shared" si="2"/>
        <v>167.10245569000043</v>
      </c>
      <c r="G18" s="2">
        <f t="shared" si="3"/>
        <v>172.9047490399997</v>
      </c>
      <c r="H18" s="2">
        <f t="shared" si="4"/>
        <v>183.87838065000068</v>
      </c>
      <c r="J18" s="3">
        <f t="shared" si="5"/>
        <v>3.5879699854245987E-2</v>
      </c>
      <c r="K18" s="3">
        <f t="shared" si="6"/>
        <v>3.5495428901928298E-2</v>
      </c>
      <c r="L18" s="3">
        <f t="shared" si="7"/>
        <v>3.4532953049000857E-2</v>
      </c>
    </row>
    <row r="19" spans="1:12">
      <c r="A19" t="s">
        <v>21</v>
      </c>
      <c r="B19">
        <v>309416721.58999968</v>
      </c>
      <c r="C19">
        <v>317523496.61000001</v>
      </c>
      <c r="D19">
        <v>339642212.35000002</v>
      </c>
      <c r="F19" s="2">
        <f t="shared" si="2"/>
        <v>309.41672158999967</v>
      </c>
      <c r="G19" s="2">
        <f t="shared" si="3"/>
        <v>317.52349661</v>
      </c>
      <c r="H19" s="2">
        <f t="shared" si="4"/>
        <v>339.64221235000002</v>
      </c>
      <c r="J19" s="3">
        <f t="shared" si="5"/>
        <v>6.6436959616736041E-2</v>
      </c>
      <c r="K19" s="3">
        <f t="shared" si="6"/>
        <v>6.5184055158627158E-2</v>
      </c>
      <c r="L19" s="3">
        <f t="shared" si="7"/>
        <v>6.378590311204857E-2</v>
      </c>
    </row>
    <row r="20" spans="1:12">
      <c r="A20" t="s">
        <v>22</v>
      </c>
      <c r="B20">
        <v>187399762.66000041</v>
      </c>
      <c r="C20">
        <v>191280937.76000041</v>
      </c>
      <c r="D20">
        <v>214545711.61999971</v>
      </c>
      <c r="F20" s="2">
        <f t="shared" si="2"/>
        <v>187.39976266000042</v>
      </c>
      <c r="G20" s="2">
        <f t="shared" si="3"/>
        <v>191.2809377600004</v>
      </c>
      <c r="H20" s="2">
        <f t="shared" si="4"/>
        <v>214.54571161999971</v>
      </c>
      <c r="J20" s="3">
        <f t="shared" si="5"/>
        <v>4.0237872084127074E-2</v>
      </c>
      <c r="K20" s="3">
        <f t="shared" si="6"/>
        <v>3.9267856807007444E-2</v>
      </c>
      <c r="L20" s="3">
        <f t="shared" si="7"/>
        <v>4.0292376733185579E-2</v>
      </c>
    </row>
    <row r="21" spans="1:12">
      <c r="A21" t="s">
        <v>23</v>
      </c>
      <c r="B21">
        <v>186756795.9500007</v>
      </c>
      <c r="C21">
        <v>195696945.9100008</v>
      </c>
      <c r="D21">
        <v>213443027.6299997</v>
      </c>
      <c r="F21" s="2">
        <f t="shared" si="2"/>
        <v>186.75679595000071</v>
      </c>
      <c r="G21" s="2">
        <f t="shared" si="3"/>
        <v>195.69694591000081</v>
      </c>
      <c r="H21" s="2">
        <f t="shared" si="4"/>
        <v>213.4430276299997</v>
      </c>
      <c r="J21" s="3">
        <f t="shared" si="5"/>
        <v>4.0099816347747841E-2</v>
      </c>
      <c r="K21" s="3">
        <f t="shared" si="6"/>
        <v>4.0174414343390745E-2</v>
      </c>
      <c r="L21" s="3">
        <f t="shared" si="7"/>
        <v>4.0085289122777285E-2</v>
      </c>
    </row>
    <row r="22" spans="1:12">
      <c r="A22" t="s">
        <v>24</v>
      </c>
      <c r="B22">
        <v>176169919.01999941</v>
      </c>
      <c r="C22">
        <v>189666245.80999959</v>
      </c>
      <c r="D22">
        <v>207154788.85000011</v>
      </c>
      <c r="F22" s="2">
        <f t="shared" si="2"/>
        <v>176.16991901999941</v>
      </c>
      <c r="G22" s="2">
        <f t="shared" si="3"/>
        <v>189.66624580999959</v>
      </c>
      <c r="H22" s="2">
        <f t="shared" si="4"/>
        <v>207.1547888500001</v>
      </c>
      <c r="J22" s="3">
        <f t="shared" si="5"/>
        <v>3.7826636309346892E-2</v>
      </c>
      <c r="K22" s="3">
        <f t="shared" si="6"/>
        <v>3.8936378443180028E-2</v>
      </c>
      <c r="L22" s="3">
        <f t="shared" si="7"/>
        <v>3.8904337595017394E-2</v>
      </c>
    </row>
    <row r="23" spans="1:12">
      <c r="A23" t="s">
        <v>25</v>
      </c>
      <c r="B23">
        <v>244959449.68000171</v>
      </c>
      <c r="C23">
        <v>256055840.56999981</v>
      </c>
      <c r="D23">
        <v>280543350.48000032</v>
      </c>
      <c r="F23" s="2">
        <f t="shared" si="2"/>
        <v>244.95944968000171</v>
      </c>
      <c r="G23" s="2">
        <f t="shared" si="3"/>
        <v>256.05584056999982</v>
      </c>
      <c r="H23" s="2">
        <f t="shared" si="4"/>
        <v>280.5433504800003</v>
      </c>
      <c r="J23" s="3">
        <f t="shared" si="5"/>
        <v>5.2596902269855042E-2</v>
      </c>
      <c r="K23" s="3">
        <f t="shared" si="6"/>
        <v>5.2565426538824067E-2</v>
      </c>
      <c r="L23" s="3">
        <f t="shared" si="7"/>
        <v>5.2686946209166585E-2</v>
      </c>
    </row>
    <row r="24" spans="1:12">
      <c r="A24" t="s">
        <v>26</v>
      </c>
      <c r="B24">
        <v>146176841.50000039</v>
      </c>
      <c r="C24">
        <v>153013055.5800001</v>
      </c>
      <c r="D24">
        <v>162330559.37</v>
      </c>
      <c r="F24" s="2">
        <f t="shared" si="2"/>
        <v>146.17684150000039</v>
      </c>
      <c r="G24" s="2">
        <f t="shared" si="3"/>
        <v>153.0130555800001</v>
      </c>
      <c r="H24" s="2">
        <f t="shared" si="4"/>
        <v>162.33055937</v>
      </c>
      <c r="J24" s="3">
        <f t="shared" si="5"/>
        <v>3.1386619526355387E-2</v>
      </c>
      <c r="K24" s="3">
        <f t="shared" si="6"/>
        <v>3.1411884668073695E-2</v>
      </c>
      <c r="L24" s="3">
        <f t="shared" si="7"/>
        <v>3.0486202702711455E-2</v>
      </c>
    </row>
    <row r="25" spans="1:12">
      <c r="A25" t="s">
        <v>27</v>
      </c>
      <c r="B25">
        <v>242204741.4200002</v>
      </c>
      <c r="C25">
        <v>260556081.40999931</v>
      </c>
      <c r="D25">
        <v>287742763.61000031</v>
      </c>
      <c r="F25" s="2">
        <f t="shared" si="2"/>
        <v>242.2047414200002</v>
      </c>
      <c r="G25" s="2">
        <f t="shared" si="3"/>
        <v>260.55608140999931</v>
      </c>
      <c r="H25" s="2">
        <f t="shared" si="4"/>
        <v>287.74276361000034</v>
      </c>
      <c r="J25" s="3">
        <f t="shared" si="5"/>
        <v>5.200542020487435E-2</v>
      </c>
      <c r="K25" s="3">
        <f t="shared" si="6"/>
        <v>5.3489276113024037E-2</v>
      </c>
      <c r="L25" s="3">
        <f t="shared" si="7"/>
        <v>5.4039019219162668E-2</v>
      </c>
    </row>
    <row r="26" spans="1:12">
      <c r="A26" t="s">
        <v>28</v>
      </c>
      <c r="B26">
        <v>155961441.8899999</v>
      </c>
      <c r="C26">
        <v>168107443.08999991</v>
      </c>
      <c r="D26">
        <v>186790399.9200004</v>
      </c>
      <c r="F26" s="2">
        <f t="shared" si="2"/>
        <v>155.96144188999989</v>
      </c>
      <c r="G26" s="2">
        <f t="shared" si="3"/>
        <v>168.10744308999992</v>
      </c>
      <c r="H26" s="2">
        <f t="shared" si="4"/>
        <v>186.7903999200004</v>
      </c>
      <c r="J26" s="3">
        <f t="shared" si="5"/>
        <v>3.348753733595481E-2</v>
      </c>
      <c r="K26" s="3">
        <f t="shared" si="6"/>
        <v>3.4510595152627277E-2</v>
      </c>
      <c r="L26" s="3">
        <f t="shared" si="7"/>
        <v>3.5079839661626061E-2</v>
      </c>
    </row>
    <row r="27" spans="1:12">
      <c r="B27" s="4">
        <f>SUM(B2:B26)</f>
        <v>4657298036.7400026</v>
      </c>
      <c r="C27" s="4">
        <f t="shared" ref="C27:H27" si="8">SUM(C2:C26)</f>
        <v>4871183540.7799959</v>
      </c>
      <c r="D27" s="4">
        <f t="shared" si="8"/>
        <v>5324722168.680007</v>
      </c>
      <c r="E27" s="4"/>
      <c r="F27" s="2">
        <f t="shared" si="8"/>
        <v>4657.2980367400032</v>
      </c>
      <c r="G27" s="2">
        <f t="shared" si="8"/>
        <v>4871.1835407799963</v>
      </c>
      <c r="H27" s="2">
        <f t="shared" si="8"/>
        <v>5324.7221686800058</v>
      </c>
      <c r="I27" s="2">
        <f t="shared" ref="I27" si="9">SUM(I2:I26)</f>
        <v>0</v>
      </c>
      <c r="J27" s="2">
        <f t="shared" ref="J27" si="10">SUM(J2:J26)</f>
        <v>0.99999999999999967</v>
      </c>
      <c r="K27" s="2">
        <f t="shared" ref="K27" si="11">SUM(K2:K26)</f>
        <v>0.99999999999999978</v>
      </c>
      <c r="L27" s="2">
        <f t="shared" ref="L27" si="12">SUM(L2:L26)</f>
        <v>1.0000000000000002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Zeyu</cp:lastModifiedBy>
  <dcterms:created xsi:type="dcterms:W3CDTF">2025-03-05T18:50:05Z</dcterms:created>
  <dcterms:modified xsi:type="dcterms:W3CDTF">2025-03-12T18:19:54Z</dcterms:modified>
</cp:coreProperties>
</file>